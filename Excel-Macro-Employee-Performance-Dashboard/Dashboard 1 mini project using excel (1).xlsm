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t\"/>
    </mc:Choice>
  </mc:AlternateContent>
  <xr:revisionPtr revIDLastSave="0" documentId="8_{F0660772-7FB8-4F28-961C-8FBAEC33729B}" xr6:coauthVersionLast="47" xr6:coauthVersionMax="47" xr10:uidLastSave="{00000000-0000-0000-0000-000000000000}"/>
  <bookViews>
    <workbookView xWindow="-108" yWindow="-108" windowWidth="23256" windowHeight="12456" activeTab="4" xr2:uid="{07ACF86E-4392-4343-A18E-9CE0AA3A5613}"/>
  </bookViews>
  <sheets>
    <sheet name="Break" sheetId="1" r:id="rId1"/>
    <sheet name="Over all Performance" sheetId="3" r:id="rId2"/>
    <sheet name="Efficiency" sheetId="2" r:id="rId3"/>
    <sheet name="Summary" sheetId="5" r:id="rId4"/>
    <sheet name="Dashboard" sheetId="6" r:id="rId5"/>
  </sheets>
  <definedNames>
    <definedName name="Bdata">Break!$A$1:$I$150</definedName>
    <definedName name="Edata">Efficiency!$A$1:$Q$150</definedName>
    <definedName name="Pdata">'Over all Performance'!$A$1:$J$150</definedName>
  </definedNames>
  <calcPr calcId="191029" iterateCount="1000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2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2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2" i="5"/>
</calcChain>
</file>

<file path=xl/sharedStrings.xml><?xml version="1.0" encoding="utf-8"?>
<sst xmlns="http://schemas.openxmlformats.org/spreadsheetml/2006/main" count="2448" uniqueCount="1014">
  <si>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</si>
  <si>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</si>
  <si>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</si>
  <si>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</si>
  <si>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</si>
  <si>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</si>
  <si>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</si>
  <si>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</si>
  <si>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</si>
  <si>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</si>
  <si>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</si>
  <si>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</si>
  <si>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</si>
  <si>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</si>
  <si>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</si>
  <si>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</si>
  <si>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</si>
  <si>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</si>
  <si>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</si>
  <si>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</si>
  <si>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</si>
  <si>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</si>
  <si>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</si>
  <si>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</si>
  <si>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</si>
  <si>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</si>
  <si>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</si>
  <si>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</si>
  <si>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</si>
  <si>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</si>
  <si>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</si>
  <si>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</si>
  <si>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</si>
  <si>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</si>
  <si>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</si>
  <si>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</si>
  <si>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</si>
  <si>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</si>
  <si>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</si>
  <si>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</si>
  <si>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</si>
  <si>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</si>
  <si>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</si>
  <si>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</si>
  <si>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</si>
  <si>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</si>
  <si>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</si>
  <si>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</si>
  <si>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</si>
  <si>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</si>
  <si>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</si>
  <si>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</si>
  <si>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</si>
  <si>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</si>
  <si>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</si>
  <si>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</si>
  <si>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</si>
  <si>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</si>
  <si>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</si>
  <si>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</si>
  <si>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</si>
  <si>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</si>
  <si>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</si>
  <si>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</si>
  <si>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</si>
  <si>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</si>
  <si>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</si>
  <si>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</si>
  <si>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</si>
  <si>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</si>
  <si>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</si>
  <si>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</si>
  <si>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</si>
  <si>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</si>
  <si>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</si>
  <si>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</si>
  <si>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</si>
  <si>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</si>
  <si>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</si>
  <si>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</si>
  <si>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</si>
  <si>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</si>
  <si>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</si>
  <si>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</si>
  <si>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</si>
  <si>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</si>
  <si>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</si>
  <si>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</si>
  <si>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</si>
  <si>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</si>
  <si>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</si>
  <si>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</si>
  <si>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</si>
  <si>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</si>
  <si>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</si>
  <si>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</si>
  <si>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</si>
  <si>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</si>
  <si>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</si>
  <si>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</si>
  <si>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</si>
  <si>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</si>
  <si>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</si>
  <si>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</si>
  <si>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</si>
  <si>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</si>
  <si>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</si>
  <si>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</si>
  <si>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</si>
  <si>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</si>
  <si>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</si>
  <si>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</si>
  <si>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</si>
  <si>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</si>
  <si>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</si>
  <si>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</si>
  <si>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</si>
  <si>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</si>
  <si>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</si>
  <si>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</si>
  <si>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</si>
  <si>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</si>
  <si>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</si>
  <si>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</si>
  <si>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</si>
  <si>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</si>
  <si>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</si>
  <si>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</si>
  <si>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</si>
  <si>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</si>
  <si>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</si>
  <si>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</si>
  <si>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</si>
  <si>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</si>
  <si>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</si>
  <si>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</si>
  <si>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</si>
  <si>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</si>
  <si>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</si>
  <si>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</si>
  <si>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</si>
  <si>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</si>
  <si>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</si>
  <si>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</si>
  <si>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</si>
  <si>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</si>
  <si>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</si>
  <si>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</si>
  <si>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</si>
  <si>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</si>
  <si>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</si>
  <si>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</si>
  <si>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</si>
  <si>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</si>
  <si>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</si>
  <si>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</si>
  <si>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</si>
  <si>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</si>
  <si>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</si>
  <si>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</si>
  <si>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</si>
  <si>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</si>
  <si>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</si>
  <si>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</si>
  <si>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</si>
  <si>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</si>
  <si>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</si>
  <si>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</si>
  <si>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</si>
  <si>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</si>
  <si>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</si>
  <si>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</si>
  <si>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</si>
  <si>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</si>
  <si>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</si>
  <si>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</si>
  <si>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</si>
  <si>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</si>
  <si>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</si>
  <si>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</si>
  <si>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</si>
  <si>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</si>
  <si>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</si>
  <si>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</si>
  <si>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</si>
  <si>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</si>
  <si>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</si>
  <si>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</si>
  <si>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</si>
  <si>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</si>
  <si>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</si>
  <si>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</si>
  <si>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</si>
  <si>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</si>
  <si>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</si>
  <si>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</si>
  <si>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</si>
  <si>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</si>
  <si>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</si>
  <si>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</si>
  <si>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</si>
  <si>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</si>
  <si>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</si>
  <si>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</si>
  <si>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</si>
  <si>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</si>
  <si>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</si>
  <si>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</si>
  <si>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</si>
  <si>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</si>
  <si>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</si>
  <si>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</si>
  <si>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</si>
  <si>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</si>
  <si>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</si>
  <si>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</si>
  <si>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</si>
  <si>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</si>
  <si>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</si>
  <si>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</si>
  <si>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</si>
  <si>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</si>
  <si>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</si>
  <si>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</si>
  <si>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</si>
  <si>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</si>
  <si>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</si>
  <si>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</si>
  <si>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</si>
  <si>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</si>
  <si>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</si>
  <si>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</si>
  <si>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</si>
  <si>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</si>
  <si>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</si>
  <si>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</si>
  <si>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</si>
  <si>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</si>
  <si>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</si>
  <si>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</si>
  <si>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</si>
  <si>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</si>
  <si>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</si>
  <si>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</si>
  <si>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</si>
  <si>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</si>
  <si>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</si>
  <si>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</si>
  <si>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</si>
  <si>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</si>
  <si>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</si>
  <si>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</si>
  <si>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</si>
  <si>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</si>
  <si>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</si>
  <si>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</si>
  <si>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</si>
  <si>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</si>
  <si>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</si>
  <si>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</si>
  <si>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</si>
  <si>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</si>
  <si>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</si>
  <si>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</si>
  <si>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</si>
  <si>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</si>
  <si>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</si>
  <si>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</si>
  <si>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</si>
  <si>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</si>
  <si>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</si>
  <si>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</si>
  <si>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</si>
  <si>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</si>
  <si>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</si>
  <si>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</si>
  <si>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</si>
  <si>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</si>
  <si>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</si>
  <si>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</si>
  <si>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</si>
  <si>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</si>
  <si>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</si>
  <si>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</si>
  <si>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</si>
  <si>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</si>
  <si>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</si>
  <si>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</si>
  <si>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</si>
  <si>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</si>
  <si>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</si>
  <si>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</si>
  <si>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</si>
  <si>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</si>
  <si>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</si>
  <si>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</si>
  <si>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</si>
  <si>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</si>
  <si>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</si>
  <si>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</si>
  <si>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</si>
  <si>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</si>
  <si>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</si>
  <si>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</si>
  <si>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</si>
  <si>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</si>
  <si>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</si>
  <si>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</si>
  <si>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</si>
  <si>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</si>
  <si>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</si>
  <si>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</si>
  <si>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</si>
  <si>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</si>
  <si>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</si>
  <si>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</si>
  <si>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</si>
  <si>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</si>
  <si>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</si>
  <si>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</si>
  <si>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</si>
  <si>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</si>
  <si>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</si>
  <si>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</si>
  <si>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</si>
  <si>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</si>
  <si>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</si>
  <si>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</si>
  <si>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</si>
  <si>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</si>
  <si>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</si>
  <si>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</si>
  <si>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</si>
  <si>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</si>
  <si>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</si>
  <si>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</si>
  <si>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</si>
  <si>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</si>
  <si>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</si>
  <si>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</si>
  <si>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</si>
  <si>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</si>
  <si>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</si>
  <si>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</si>
  <si>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</si>
  <si>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</si>
  <si>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</si>
  <si>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</si>
  <si>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</si>
  <si>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</si>
  <si>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</si>
  <si>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</si>
  <si>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</si>
  <si>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</si>
  <si>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</si>
  <si>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</si>
  <si>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</si>
  <si>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</si>
  <si>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</si>
  <si>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</si>
  <si>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</si>
  <si>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</si>
  <si>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</si>
  <si>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</si>
  <si>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</si>
  <si>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</si>
  <si>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</si>
  <si>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</si>
  <si>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</si>
  <si>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</si>
  <si>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</si>
  <si>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</si>
  <si>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</si>
  <si>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</si>
  <si>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</si>
  <si>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</si>
  <si>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</si>
  <si>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</si>
  <si>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</si>
  <si>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</si>
  <si>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</si>
  <si>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</si>
  <si>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</si>
  <si>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</si>
  <si>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</si>
  <si>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</si>
  <si>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</si>
  <si>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</si>
  <si>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</si>
  <si>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</si>
  <si>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</si>
  <si>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</si>
  <si>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</si>
  <si>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</si>
  <si>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</si>
  <si>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</si>
  <si>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</si>
  <si>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</si>
  <si>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</si>
  <si>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</si>
  <si>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</si>
  <si>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</si>
  <si>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</si>
  <si>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</si>
  <si>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</si>
  <si>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</si>
  <si>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</si>
  <si>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</si>
  <si>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</si>
  <si>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</si>
  <si>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</si>
  <si>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</si>
  <si>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</si>
  <si>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</si>
  <si>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</si>
  <si>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</si>
  <si>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</si>
  <si>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</si>
  <si>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</si>
  <si>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</si>
  <si>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</si>
  <si>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</si>
  <si>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</si>
  <si>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</si>
  <si>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</si>
  <si>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</si>
  <si>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</si>
  <si>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</si>
  <si>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</si>
  <si>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</si>
  <si>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</si>
  <si>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</si>
  <si>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</si>
  <si>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</si>
  <si>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</si>
  <si>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</si>
  <si>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</si>
  <si>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</si>
  <si>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</si>
  <si>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</si>
  <si>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</si>
  <si>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</si>
  <si>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</si>
  <si>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</si>
  <si>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</si>
  <si>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</si>
  <si>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</si>
  <si>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</si>
  <si>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</si>
  <si>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</si>
  <si>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</si>
  <si>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</si>
  <si>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</si>
  <si>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</si>
  <si>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</si>
  <si>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</si>
  <si>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</si>
  <si>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</si>
  <si>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</si>
  <si>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</si>
  <si>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</si>
  <si>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</si>
  <si>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</si>
  <si>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</si>
  <si>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</si>
  <si>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</si>
  <si>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</si>
  <si>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</si>
  <si>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</si>
  <si>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</si>
  <si>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</si>
  <si>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</si>
  <si>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</si>
  <si>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</si>
  <si>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</si>
  <si>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</si>
  <si>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</si>
  <si>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</si>
  <si>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</si>
  <si>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</si>
  <si>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</si>
  <si>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</si>
  <si>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</si>
  <si>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</si>
  <si>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</si>
  <si>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</si>
  <si>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</si>
  <si>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</si>
  <si>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</si>
  <si>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</si>
  <si>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</si>
  <si>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</si>
  <si>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</si>
  <si>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</si>
  <si>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</si>
  <si>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</si>
  <si>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</si>
  <si>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</si>
  <si>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</si>
  <si>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</si>
  <si>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</si>
  <si>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</si>
  <si>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</si>
  <si>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</si>
  <si>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</si>
  <si>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</si>
  <si>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</si>
  <si>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</si>
  <si>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</si>
  <si>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</si>
  <si>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</si>
  <si>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</si>
  <si>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</si>
  <si>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</si>
  <si>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</si>
  <si>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</si>
  <si>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</si>
  <si>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</si>
  <si>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</si>
  <si>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</si>
  <si>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</si>
  <si>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</si>
  <si>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</si>
  <si>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</si>
  <si>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</si>
  <si>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</si>
  <si>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</si>
  <si>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</si>
  <si>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</si>
  <si>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</si>
  <si>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</si>
  <si>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</si>
  <si>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</si>
  <si>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</si>
  <si>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</si>
  <si>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</si>
  <si>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</si>
  <si>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</si>
  <si>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</si>
  <si>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</si>
  <si>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</si>
  <si>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</si>
  <si>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</si>
  <si>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</si>
  <si>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</si>
  <si>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</si>
  <si>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</si>
  <si>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</si>
  <si>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</si>
  <si>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</si>
  <si>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</si>
  <si>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</si>
  <si>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</si>
  <si>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</si>
  <si>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</si>
  <si>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</si>
  <si>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</si>
  <si>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</si>
  <si>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</si>
  <si>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</si>
  <si>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</si>
  <si>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</si>
  <si>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</si>
  <si>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</si>
  <si>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</si>
  <si>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</si>
  <si>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</si>
  <si>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</si>
  <si>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</si>
  <si>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</si>
  <si>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</si>
  <si>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</si>
  <si>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</si>
  <si>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</si>
  <si>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</si>
  <si>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</si>
  <si>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</si>
  <si>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</si>
  <si>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</si>
  <si>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</si>
  <si>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</si>
  <si>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</si>
  <si>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</si>
  <si>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</si>
  <si>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</si>
  <si>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</si>
  <si>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</si>
  <si>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</si>
  <si>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</si>
  <si>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</si>
  <si>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</si>
  <si>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</si>
  <si>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</si>
  <si>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</si>
  <si>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</si>
  <si>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</si>
  <si>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</si>
  <si>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</si>
  <si>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</si>
  <si>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</si>
  <si>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</si>
  <si>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</si>
  <si>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</si>
  <si>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</si>
  <si>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</si>
  <si>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</si>
  <si>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</si>
  <si>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</si>
  <si>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</si>
  <si>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</si>
  <si>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</si>
  <si>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</si>
  <si>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</si>
  <si>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</si>
  <si>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</si>
  <si>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</si>
  <si>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</si>
  <si>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</si>
  <si>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</si>
  <si>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</si>
  <si>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</si>
  <si>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</si>
  <si>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</si>
  <si>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</si>
  <si>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</si>
  <si>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</si>
  <si>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</si>
  <si>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</si>
  <si>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</si>
  <si>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</si>
  <si>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</si>
  <si>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</si>
  <si>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</si>
  <si>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</si>
  <si>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</si>
  <si>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</si>
  <si>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</si>
  <si>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</si>
  <si>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</si>
  <si>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</si>
  <si>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</si>
  <si>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</si>
  <si>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</si>
  <si>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</si>
  <si>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</si>
  <si>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</si>
  <si>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</si>
  <si>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</si>
  <si>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</si>
  <si>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</si>
  <si>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</si>
  <si>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</si>
  <si>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</si>
  <si>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</si>
  <si>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</si>
  <si>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</si>
  <si>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</si>
  <si>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</si>
  <si>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</si>
  <si>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</si>
  <si>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</si>
  <si>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</si>
  <si>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</si>
  <si>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</si>
  <si>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</si>
  <si>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</si>
  <si>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</si>
  <si>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</si>
  <si>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</si>
  <si>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</si>
  <si>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</si>
  <si>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</si>
  <si>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</si>
  <si>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</si>
  <si>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</si>
  <si>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</si>
  <si>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</si>
  <si>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</si>
  <si>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</si>
  <si>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</si>
  <si>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</si>
  <si>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</si>
  <si>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</si>
  <si>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</si>
  <si>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</si>
  <si>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</si>
  <si>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</si>
  <si>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</si>
  <si>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</si>
  <si>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</si>
  <si>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</si>
  <si>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</si>
  <si>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</si>
  <si>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</si>
  <si>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</si>
  <si>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</si>
  <si>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</si>
  <si>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</si>
  <si>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</si>
  <si>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</si>
  <si>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</si>
  <si>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</si>
  <si>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</si>
  <si>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</si>
  <si>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</si>
  <si>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</si>
  <si>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</si>
  <si>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</si>
  <si>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</si>
  <si>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</si>
  <si>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</si>
  <si>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</si>
  <si>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</si>
  <si>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</si>
  <si>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</si>
  <si>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</si>
  <si>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</si>
  <si>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</si>
  <si>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</si>
  <si>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</si>
  <si>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</si>
  <si>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</si>
  <si>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</si>
  <si>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</si>
  <si>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</si>
  <si>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</si>
  <si>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</si>
  <si>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</si>
  <si>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</si>
  <si>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</si>
  <si>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</si>
  <si>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</si>
  <si>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</si>
  <si>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</si>
  <si>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</si>
  <si>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</si>
  <si>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</si>
  <si>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</si>
  <si>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</si>
  <si>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</si>
  <si>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</si>
  <si>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</si>
  <si>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</si>
  <si>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</si>
  <si>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</si>
  <si>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</si>
  <si>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</si>
  <si>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</si>
  <si>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</si>
  <si>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</si>
  <si>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</si>
  <si>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</si>
  <si>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</si>
  <si>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</si>
  <si>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</si>
  <si>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</si>
  <si>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</si>
  <si>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</si>
  <si>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</si>
  <si>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</si>
  <si>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</si>
  <si>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</si>
  <si>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</si>
  <si>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</si>
  <si>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</si>
  <si>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</si>
  <si>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</si>
  <si>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</si>
  <si>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</si>
  <si>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</si>
  <si>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</si>
  <si>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</si>
  <si>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</si>
  <si>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</si>
  <si>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</si>
  <si>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</si>
  <si>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</si>
  <si>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</si>
  <si>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</si>
  <si>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</si>
  <si>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</si>
  <si>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</si>
  <si>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</si>
  <si>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</si>
  <si>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</si>
  <si>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</si>
  <si>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</si>
  <si>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</si>
  <si>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</si>
  <si>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</si>
  <si>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</si>
  <si>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</si>
  <si>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</si>
  <si>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</si>
  <si>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</si>
  <si>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</si>
  <si>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</si>
  <si>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</si>
  <si>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</si>
  <si>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</si>
  <si>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</si>
  <si>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</si>
  <si>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</si>
  <si>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</si>
  <si>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</si>
  <si>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</si>
  <si>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</si>
  <si>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</si>
  <si>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</si>
  <si>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</si>
  <si>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</si>
  <si>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</si>
  <si>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</si>
  <si>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</si>
  <si>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</si>
  <si>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</si>
  <si>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</si>
  <si>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</si>
  <si>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</si>
  <si>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</si>
  <si>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</si>
  <si>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</si>
  <si>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</si>
  <si>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</si>
  <si>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</si>
  <si>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</si>
  <si>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</si>
  <si>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</si>
  <si>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</si>
  <si>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</si>
  <si>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</si>
  <si>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</si>
  <si>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</si>
  <si>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</si>
  <si>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</si>
  <si>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</si>
  <si>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</si>
  <si>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</si>
  <si>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</si>
  <si>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</si>
  <si>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</si>
  <si>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</si>
  <si>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</si>
  <si>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</si>
  <si>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</si>
  <si>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</si>
  <si>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</si>
  <si>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</si>
  <si>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</si>
  <si>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</si>
  <si>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</si>
  <si>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</si>
  <si>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</si>
  <si>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</si>
  <si>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</si>
  <si>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</si>
  <si>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</si>
  <si>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</si>
  <si>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</si>
  <si>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</si>
  <si>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</si>
  <si>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</si>
  <si>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</si>
  <si>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</si>
  <si>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</si>
  <si>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</si>
  <si>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</si>
  <si>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</si>
  <si>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</si>
  <si>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</si>
  <si>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</si>
  <si>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</si>
  <si>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</si>
  <si>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</si>
  <si>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</si>
  <si>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</si>
  <si>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</si>
  <si>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</si>
  <si>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</si>
  <si>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</si>
  <si>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</si>
  <si>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</si>
  <si>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</si>
  <si>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</si>
  <si>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</si>
  <si>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</si>
  <si>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</si>
  <si>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</si>
  <si>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</si>
  <si>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</si>
  <si>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</si>
  <si>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</si>
  <si>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</si>
  <si>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</si>
  <si>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</si>
  <si>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</si>
  <si>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</si>
  <si>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</si>
  <si>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</si>
  <si>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</si>
  <si>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</si>
  <si>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</si>
  <si>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</si>
  <si>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</si>
  <si>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</si>
  <si>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</si>
  <si>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</si>
  <si>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</si>
  <si>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</si>
  <si>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</si>
  <si>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</si>
  <si>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</si>
  <si>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</si>
  <si>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</si>
  <si>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</si>
  <si>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</si>
  <si>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</si>
  <si>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</si>
  <si>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</si>
  <si>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</si>
  <si>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</si>
  <si>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</si>
  <si>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</si>
  <si>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</si>
  <si>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</si>
  <si>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</si>
  <si>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</si>
  <si>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</si>
  <si>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</si>
  <si>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</si>
  <si>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</si>
  <si>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</si>
  <si>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</si>
  <si>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</si>
  <si>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</si>
  <si>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</si>
  <si>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</si>
  <si>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</si>
  <si>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</si>
  <si>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</si>
  <si>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</si>
  <si>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</si>
  <si>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</si>
  <si>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</si>
  <si>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</si>
  <si>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</si>
  <si>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</si>
  <si>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</si>
  <si>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</si>
  <si>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</si>
  <si>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</si>
  <si>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</si>
  <si>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</si>
  <si>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</si>
  <si>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</si>
  <si>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</si>
  <si>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</si>
  <si>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</si>
  <si>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</si>
  <si>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</si>
  <si>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</si>
  <si>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</si>
  <si>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</si>
  <si>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</si>
  <si>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</si>
  <si>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</si>
  <si>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</si>
  <si>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</si>
  <si>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</si>
  <si>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</si>
  <si>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</si>
  <si>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</si>
  <si>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</si>
  <si>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</si>
  <si>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</si>
  <si>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</si>
  <si>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</si>
  <si>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</si>
  <si>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</si>
  <si>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</si>
  <si>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</si>
  <si>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</si>
  <si>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</si>
  <si>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</si>
  <si>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</si>
  <si>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</si>
  <si>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</si>
  <si>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</si>
  <si>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</si>
  <si>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</si>
  <si>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</si>
  <si>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</si>
  <si>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</si>
  <si>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</si>
  <si>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</si>
  <si>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</si>
  <si>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</si>
  <si>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</si>
  <si>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</si>
  <si>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</si>
  <si>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</si>
  <si>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</si>
  <si>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</si>
  <si>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</si>
  <si>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Ashok Kumar</t>
  </si>
  <si>
    <t>Manoj Kumar</t>
  </si>
  <si>
    <t>Rajesh Kumar</t>
  </si>
  <si>
    <t>Santosh Kumar</t>
  </si>
  <si>
    <t>Sunil Kumar</t>
  </si>
  <si>
    <t>Report1: Working Hours</t>
  </si>
  <si>
    <t>Anita Dixit</t>
  </si>
  <si>
    <t>Anjali Deoram</t>
  </si>
  <si>
    <t>Emp Total Number of working hours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</si>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</sst>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[$-14009]hh:mm:ss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b/>
      <sz val="12"/>
      <color theme="0" tint="-4.9989318521683403E-2"/>
      <name val="Bookman Old Style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49" fontId="5" fillId="2" borderId="1" xfId="0" applyNumberFormat="1" applyFont="1" applyFill="1" applyBorder="1" applyAlignment="1">
      <alignment horizontal="center" vertical="top"/>
    </xf>
    <xf numFmtId="0" fontId="6" fillId="0" borderId="0" xfId="0" applyFont="1"/>
    <xf numFmtId="49" fontId="7" fillId="0" borderId="2" xfId="0" applyNumberFormat="1" applyFont="1" applyBorder="1" applyAlignment="1">
      <alignment horizontal="right" vertical="top" wrapText="1"/>
    </xf>
    <xf numFmtId="49" fontId="5" fillId="2" borderId="1" xfId="0" applyNumberFormat="1" applyFont="1" applyFill="1" applyBorder="1" applyAlignment="1">
      <alignment horizontal="center" vertical="top" wrapText="1"/>
    </xf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3" fillId="3" borderId="3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2" fillId="3" borderId="0" xfId="0" applyFont="1" applyFill="1"/>
    <xf numFmtId="0" fontId="4" fillId="0" borderId="0" xfId="0" applyFont="1"/>
    <xf numFmtId="0" fontId="9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1 mini project using excel.xlsm]Dashboard!PivotTable1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562759767248547E-2"/>
          <c:y val="0.18114067858306032"/>
          <c:w val="0.9085619285120532"/>
          <c:h val="0.521943789872981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Dashboard!$A$5:$A$10</c:f>
              <c:strCache>
                <c:ptCount val="6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Dashboard!$B$5:$B$10</c:f>
              <c:numCache>
                <c:formatCode>[$-14009]hh:mm:ss;@</c:formatCode>
                <c:ptCount val="6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5-4BD9-8C42-4FEAA3BB3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331631"/>
        <c:axId val="1404316751"/>
      </c:barChart>
      <c:catAx>
        <c:axId val="1404331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6751"/>
        <c:crosses val="autoZero"/>
        <c:auto val="1"/>
        <c:lblAlgn val="ctr"/>
        <c:lblOffset val="100"/>
        <c:noMultiLvlLbl val="0"/>
      </c:catAx>
      <c:valAx>
        <c:axId val="1404316751"/>
        <c:scaling>
          <c:orientation val="minMax"/>
        </c:scaling>
        <c:delete val="1"/>
        <c:axPos val="l"/>
        <c:numFmt formatCode="[$-14009]hh:mm:ss;@" sourceLinked="1"/>
        <c:majorTickMark val="none"/>
        <c:minorTickMark val="none"/>
        <c:tickLblPos val="nextTo"/>
        <c:crossAx val="1404331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1 mini project using excel.xlsm]Dashboard!PivotTable3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Dashboard!$D$5:$D$10</c:f>
              <c:strCache>
                <c:ptCount val="6"/>
                <c:pt idx="0">
                  <c:v>Anita Dixit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Dashboard!$E$5:$E$10</c:f>
              <c:numCache>
                <c:formatCode>0%</c:formatCode>
                <c:ptCount val="6"/>
                <c:pt idx="0">
                  <c:v>0.65495030262646503</c:v>
                </c:pt>
                <c:pt idx="1">
                  <c:v>2.0905948641136138</c:v>
                </c:pt>
                <c:pt idx="2">
                  <c:v>1.064298009533315</c:v>
                </c:pt>
                <c:pt idx="3">
                  <c:v>1.122824596941316</c:v>
                </c:pt>
                <c:pt idx="4">
                  <c:v>1.7236731368386569</c:v>
                </c:pt>
                <c:pt idx="5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4-4B16-8AEE-50F3AFC80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6"/>
</file>

<file path=xl/ctrlProps/ctrlProp2.xml><?xml version="1.0" encoding="utf-8"?>
<formControlPr xmlns="http://schemas.microsoft.com/office/spreadsheetml/2009/9/main" objectType="Spin" dx="26" fmlaLink="$C$2" max="200" min="1" page="10" val="6"/>
</file>

<file path=xl/ctrlProps/ctrlProp3.xml><?xml version="1.0" encoding="utf-8"?>
<formControlPr xmlns="http://schemas.microsoft.com/office/spreadsheetml/2009/9/main" objectType="Spin" dx="26" fmlaLink="$C$2" max="200" min="1" page="10" val="6"/>
</file>

<file path=xl/ctrlProps/ctrlProp4.xml><?xml version="1.0" encoding="utf-8"?>
<formControlPr xmlns="http://schemas.microsoft.com/office/spreadsheetml/2009/9/main" objectType="Spin" dx="26" fmlaLink="$C$1" max="200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563880</xdr:colOff>
      <xdr:row>0</xdr:row>
      <xdr:rowOff>53340</xdr:rowOff>
    </xdr:from>
    <xdr:to>
      <xdr:col>1</xdr:col>
      <xdr:colOff>1173480</xdr:colOff>
      <xdr:row>1</xdr:row>
      <xdr:rowOff>213360</xdr:rowOff>
    </xdr:to>
    <xdr:sp macro="" textlink="$C$1">
      <xdr:nvSpPr>
        <xdr:cNvPr id="6" name="Rectangle 5">
          <a:extLst>
            <a:ext uri="{FF2B5EF4-FFF2-40B4-BE49-F238E27FC236}">
              <a16:creationId xmlns:a16="http://schemas.microsoft.com/office/drawing/2014/main" id="{D587F5FF-2652-903A-B854-3FF469F9A527}"/>
            </a:ext>
          </a:extLst>
        </xdr:cNvPr>
        <xdr:cNvSpPr/>
      </xdr:nvSpPr>
      <xdr:spPr>
        <a:xfrm>
          <a:off x="1470660" y="53340"/>
          <a:ext cx="609600" cy="34290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96000" tIns="360000" rIns="216000" bIns="72000" rtlCol="0" anchor="b"/>
        <a:lstStyle/>
        <a:p>
          <a:pPr algn="r"/>
          <a:fld id="{410DF85C-58AF-4570-A420-45E039E8CF8A}" type="TxLink">
            <a:rPr lang="en-US" sz="20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US" sz="2000" b="1"/>
        </a:p>
      </xdr:txBody>
    </xdr:sp>
    <xdr:clientData/>
  </xdr:twoCellAnchor>
  <xdr:twoCellAnchor>
    <xdr:from>
      <xdr:col>0</xdr:col>
      <xdr:colOff>0</xdr:colOff>
      <xdr:row>10</xdr:row>
      <xdr:rowOff>15240</xdr:rowOff>
    </xdr:from>
    <xdr:to>
      <xdr:col>2</xdr:col>
      <xdr:colOff>0</xdr:colOff>
      <xdr:row>21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3AE72F-8657-288D-07C8-4BA30A29E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45720</xdr:rowOff>
    </xdr:from>
    <xdr:to>
      <xdr:col>1</xdr:col>
      <xdr:colOff>91440</xdr:colOff>
      <xdr:row>1</xdr:row>
      <xdr:rowOff>228600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746B4-7C9B-AC74-546A-A429244B3A0B}"/>
            </a:ext>
          </a:extLst>
        </xdr:cNvPr>
        <xdr:cNvSpPr/>
      </xdr:nvSpPr>
      <xdr:spPr>
        <a:xfrm>
          <a:off x="38100" y="45720"/>
          <a:ext cx="960120" cy="365760"/>
        </a:xfrm>
        <a:prstGeom prst="rightArrow">
          <a:avLst>
            <a:gd name="adj1" fmla="val 99767"/>
            <a:gd name="adj2" fmla="val 100015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CHART</a:t>
          </a:r>
        </a:p>
      </xdr:txBody>
    </xdr:sp>
    <xdr:clientData/>
  </xdr:twoCellAnchor>
  <xdr:twoCellAnchor editAs="oneCell">
    <xdr:from>
      <xdr:col>1</xdr:col>
      <xdr:colOff>106680</xdr:colOff>
      <xdr:row>0</xdr:row>
      <xdr:rowOff>60960</xdr:rowOff>
    </xdr:from>
    <xdr:to>
      <xdr:col>1</xdr:col>
      <xdr:colOff>518690</xdr:colOff>
      <xdr:row>1</xdr:row>
      <xdr:rowOff>205680</xdr:rowOff>
    </xdr:to>
    <xdr:pic macro="[0]!Chart1_Hide">
      <xdr:nvPicPr>
        <xdr:cNvPr id="5" name="Picture 4">
          <a:extLst>
            <a:ext uri="{FF2B5EF4-FFF2-40B4-BE49-F238E27FC236}">
              <a16:creationId xmlns:a16="http://schemas.microsoft.com/office/drawing/2014/main" id="{D2DDC930-B770-3C90-36A1-03B37C8BE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460" y="60960"/>
          <a:ext cx="412010" cy="3276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0</xdr:row>
          <xdr:rowOff>76200</xdr:rowOff>
        </xdr:from>
        <xdr:to>
          <xdr:col>1</xdr:col>
          <xdr:colOff>891540</xdr:colOff>
          <xdr:row>1</xdr:row>
          <xdr:rowOff>175260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1196340</xdr:colOff>
      <xdr:row>0</xdr:row>
      <xdr:rowOff>60960</xdr:rowOff>
    </xdr:from>
    <xdr:to>
      <xdr:col>2</xdr:col>
      <xdr:colOff>7620</xdr:colOff>
      <xdr:row>1</xdr:row>
      <xdr:rowOff>243840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1EF4EC0D-F018-4EFA-96A9-DCC4ECDDCAB8}"/>
            </a:ext>
          </a:extLst>
        </xdr:cNvPr>
        <xdr:cNvSpPr/>
      </xdr:nvSpPr>
      <xdr:spPr>
        <a:xfrm flipH="1">
          <a:off x="2103120" y="60960"/>
          <a:ext cx="960120" cy="365760"/>
        </a:xfrm>
        <a:prstGeom prst="rightArrow">
          <a:avLst>
            <a:gd name="adj1" fmla="val 95157"/>
            <a:gd name="adj2" fmla="val 52452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RECORDS</a:t>
          </a:r>
        </a:p>
      </xdr:txBody>
    </xdr:sp>
    <xdr:clientData/>
  </xdr:twoCellAnchor>
  <xdr:twoCellAnchor editAs="oneCell">
    <xdr:from>
      <xdr:col>1</xdr:col>
      <xdr:colOff>15239</xdr:colOff>
      <xdr:row>0</xdr:row>
      <xdr:rowOff>45719</xdr:rowOff>
    </xdr:from>
    <xdr:to>
      <xdr:col>1</xdr:col>
      <xdr:colOff>556260</xdr:colOff>
      <xdr:row>1</xdr:row>
      <xdr:rowOff>205740</xdr:rowOff>
    </xdr:to>
    <xdr:pic macro="[0]!Chart1_show">
      <xdr:nvPicPr>
        <xdr:cNvPr id="9" name="Picture 8" hidden="1">
          <a:extLst>
            <a:ext uri="{FF2B5EF4-FFF2-40B4-BE49-F238E27FC236}">
              <a16:creationId xmlns:a16="http://schemas.microsoft.com/office/drawing/2014/main" id="{F4EFA586-53D3-0073-CBDE-B50C3D69A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19" y="45719"/>
          <a:ext cx="541021" cy="342901"/>
        </a:xfrm>
        <a:prstGeom prst="rect">
          <a:avLst/>
        </a:prstGeom>
      </xdr:spPr>
    </xdr:pic>
    <xdr:clientData/>
  </xdr:twoCellAnchor>
  <xdr:twoCellAnchor>
    <xdr:from>
      <xdr:col>3</xdr:col>
      <xdr:colOff>1615440</xdr:colOff>
      <xdr:row>0</xdr:row>
      <xdr:rowOff>60960</xdr:rowOff>
    </xdr:from>
    <xdr:to>
      <xdr:col>4</xdr:col>
      <xdr:colOff>373380</xdr:colOff>
      <xdr:row>1</xdr:row>
      <xdr:rowOff>220980</xdr:rowOff>
    </xdr:to>
    <xdr:sp macro="" textlink="$C$2">
      <xdr:nvSpPr>
        <xdr:cNvPr id="10" name="Rectangle 9">
          <a:extLst>
            <a:ext uri="{FF2B5EF4-FFF2-40B4-BE49-F238E27FC236}">
              <a16:creationId xmlns:a16="http://schemas.microsoft.com/office/drawing/2014/main" id="{B7294E43-0402-44A5-994A-236BE05CF08B}"/>
            </a:ext>
          </a:extLst>
        </xdr:cNvPr>
        <xdr:cNvSpPr/>
      </xdr:nvSpPr>
      <xdr:spPr>
        <a:xfrm>
          <a:off x="5280660" y="60960"/>
          <a:ext cx="609600" cy="34290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96000" tIns="360000" rIns="216000" bIns="72000" rtlCol="0" anchor="b"/>
        <a:lstStyle/>
        <a:p>
          <a:pPr marL="0" indent="0" algn="r"/>
          <a:fld id="{B52F281D-4328-4F61-B533-13CFAA82EC2D}" type="TxLink">
            <a:rPr lang="en-US" sz="20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</a:t>
          </a:fld>
          <a:endParaRPr lang="en-US" sz="20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15240</xdr:colOff>
      <xdr:row>0</xdr:row>
      <xdr:rowOff>60960</xdr:rowOff>
    </xdr:from>
    <xdr:to>
      <xdr:col>3</xdr:col>
      <xdr:colOff>1036320</xdr:colOff>
      <xdr:row>1</xdr:row>
      <xdr:rowOff>243840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283F9DE6-0198-4287-9705-BC88223DAADE}"/>
            </a:ext>
          </a:extLst>
        </xdr:cNvPr>
        <xdr:cNvSpPr/>
      </xdr:nvSpPr>
      <xdr:spPr>
        <a:xfrm>
          <a:off x="3680460" y="60960"/>
          <a:ext cx="1021080" cy="365760"/>
        </a:xfrm>
        <a:prstGeom prst="rightArrow">
          <a:avLst>
            <a:gd name="adj1" fmla="val 99767"/>
            <a:gd name="adj2" fmla="val 100015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CHART</a:t>
          </a:r>
        </a:p>
      </xdr:txBody>
    </xdr:sp>
    <xdr:clientData/>
  </xdr:twoCellAnchor>
  <xdr:oneCellAnchor>
    <xdr:from>
      <xdr:col>3</xdr:col>
      <xdr:colOff>1097280</xdr:colOff>
      <xdr:row>0</xdr:row>
      <xdr:rowOff>45720</xdr:rowOff>
    </xdr:from>
    <xdr:ext cx="412010" cy="358080"/>
    <xdr:pic macro="[0]!Chart15_Hide">
      <xdr:nvPicPr>
        <xdr:cNvPr id="12" name="Picture 11">
          <a:extLst>
            <a:ext uri="{FF2B5EF4-FFF2-40B4-BE49-F238E27FC236}">
              <a16:creationId xmlns:a16="http://schemas.microsoft.com/office/drawing/2014/main" id="{4404F7F6-1DBD-41C6-A3FC-9521E2D39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45720"/>
          <a:ext cx="412010" cy="35808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1653540</xdr:colOff>
          <xdr:row>0</xdr:row>
          <xdr:rowOff>99060</xdr:rowOff>
        </xdr:from>
        <xdr:to>
          <xdr:col>4</xdr:col>
          <xdr:colOff>121920</xdr:colOff>
          <xdr:row>1</xdr:row>
          <xdr:rowOff>198120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27B0E7E4-94FD-45F9-A7F4-44949665A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426720</xdr:colOff>
      <xdr:row>0</xdr:row>
      <xdr:rowOff>76200</xdr:rowOff>
    </xdr:from>
    <xdr:to>
      <xdr:col>4</xdr:col>
      <xdr:colOff>1584960</xdr:colOff>
      <xdr:row>1</xdr:row>
      <xdr:rowOff>259080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5BA3021D-9A49-4063-8BC9-2EF7FB3F674B}"/>
            </a:ext>
          </a:extLst>
        </xdr:cNvPr>
        <xdr:cNvSpPr/>
      </xdr:nvSpPr>
      <xdr:spPr>
        <a:xfrm flipH="1">
          <a:off x="5943600" y="76200"/>
          <a:ext cx="1158240" cy="365760"/>
        </a:xfrm>
        <a:prstGeom prst="rightArrow">
          <a:avLst>
            <a:gd name="adj1" fmla="val 95157"/>
            <a:gd name="adj2" fmla="val 52452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RECORDS</a:t>
          </a:r>
        </a:p>
      </xdr:txBody>
    </xdr:sp>
    <xdr:clientData/>
  </xdr:twoCellAnchor>
  <xdr:twoCellAnchor editAs="oneCell">
    <xdr:from>
      <xdr:col>3</xdr:col>
      <xdr:colOff>1089661</xdr:colOff>
      <xdr:row>0</xdr:row>
      <xdr:rowOff>68580</xdr:rowOff>
    </xdr:from>
    <xdr:to>
      <xdr:col>3</xdr:col>
      <xdr:colOff>1569721</xdr:colOff>
      <xdr:row>1</xdr:row>
      <xdr:rowOff>228601</xdr:rowOff>
    </xdr:to>
    <xdr:pic macro="[0]!Chart15_show">
      <xdr:nvPicPr>
        <xdr:cNvPr id="15" name="Picture 14" hidden="1">
          <a:extLst>
            <a:ext uri="{FF2B5EF4-FFF2-40B4-BE49-F238E27FC236}">
              <a16:creationId xmlns:a16="http://schemas.microsoft.com/office/drawing/2014/main" id="{5BD987F5-E80B-499B-970D-5A3CFEDD6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4881" y="68580"/>
          <a:ext cx="480060" cy="342901"/>
        </a:xfrm>
        <a:prstGeom prst="rect">
          <a:avLst/>
        </a:prstGeom>
      </xdr:spPr>
    </xdr:pic>
    <xdr:clientData/>
  </xdr:twoCellAnchor>
  <xdr:twoCellAnchor>
    <xdr:from>
      <xdr:col>2</xdr:col>
      <xdr:colOff>601980</xdr:colOff>
      <xdr:row>9</xdr:row>
      <xdr:rowOff>38100</xdr:rowOff>
    </xdr:from>
    <xdr:to>
      <xdr:col>4</xdr:col>
      <xdr:colOff>1615440</xdr:colOff>
      <xdr:row>18</xdr:row>
      <xdr:rowOff>175260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FE34297-B182-C588-5FE0-70B356FBC1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9</xdr:row>
          <xdr:rowOff>121920</xdr:rowOff>
        </xdr:from>
        <xdr:to>
          <xdr:col>4</xdr:col>
          <xdr:colOff>1386840</xdr:colOff>
          <xdr:row>11</xdr:row>
          <xdr:rowOff>38100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27B0E7E4-94FD-45F9-A7F4-44949665A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1638300</xdr:colOff>
          <xdr:row>10</xdr:row>
          <xdr:rowOff>68580</xdr:rowOff>
        </xdr:from>
        <xdr:to>
          <xdr:col>1</xdr:col>
          <xdr:colOff>1958340</xdr:colOff>
          <xdr:row>11</xdr:row>
          <xdr:rowOff>167640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UBHAM KUMAR" refreshedDate="46187.581971643522" createdVersion="8" refreshedVersion="8" minRefreshableVersion="3" recordCount="149" xr:uid="{D6D31402-308B-4C41-88AC-32C8D0A653F8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B8B1D-2937-4FFD-9088-96DFCF68A06E}" name="PivotTable3" cacheId="4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D4:E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6">
    <i>
      <x v="5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9" showRowHeaders="1" showColHeaders="1" showRowStripes="0" showColStripes="0" showLastColumn="1"/>
  <filters count="1">
    <filter fld="1" type="count" evalOrder="-1" id="78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B013EE-2D81-4A1D-A8C7-C5C1FE6CD4CE}" name="PivotTable1" cacheId="4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4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6">
    <i>
      <x v="7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rking hours" fld="2" baseField="1" baseItem="15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9" showRowHeaders="1" showColHeaders="1" showRowStripes="0" showColStripes="0" showLastColumn="1"/>
  <filters count="1">
    <filter fld="1" type="count" evalOrder="-1" id="84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C491A-5565-4D75-A2BF-D8CEC3698AE1}">
  <sheetPr codeName="Sheet2"/>
  <dimension ref="A1:I150"/>
  <sheetViews>
    <sheetView workbookViewId="0">
      <selection activeCell="A2" sqref="A2"/>
    </sheetView>
  </sheetViews>
  <sheetFormatPr defaultRowHeight="14.4" x14ac:dyDescent="0.3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BE31D-78ED-4550-A1F0-4FE9635895F7}">
  <sheetPr codeName="Sheet4"/>
  <dimension ref="A1:J150"/>
  <sheetViews>
    <sheetView workbookViewId="0">
      <selection activeCell="E1" sqref="E1"/>
    </sheetView>
  </sheetViews>
  <sheetFormatPr defaultRowHeight="14.4" x14ac:dyDescent="0.3"/>
  <cols>
    <col min="1" max="1" width="31.44140625" bestFit="1" customWidth="1"/>
    <col min="2" max="2" width="17.21875" customWidth="1"/>
    <col min="3" max="3" width="21.6640625" customWidth="1"/>
    <col min="4" max="4" width="27.109375" customWidth="1"/>
    <col min="5" max="5" width="28.109375" customWidth="1"/>
    <col min="6" max="6" width="28.6640625" customWidth="1"/>
    <col min="7" max="7" width="32.109375" customWidth="1"/>
    <col min="8" max="8" width="24.5546875" customWidth="1"/>
    <col min="9" max="9" width="30.44140625" customWidth="1"/>
    <col min="10" max="10" width="30.21875" customWidth="1"/>
  </cols>
  <sheetData>
    <row r="1" spans="1:10" ht="52.8" x14ac:dyDescent="0.3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3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3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3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3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3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3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3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3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3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3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3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3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3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3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3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3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3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3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3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3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3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3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3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3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3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3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3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3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3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3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3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3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3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3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3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3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3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3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3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3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3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3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3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3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3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3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3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3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3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3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3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3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3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3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3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3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3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3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3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3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3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3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3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3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3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3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3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3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3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3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3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3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3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3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3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3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3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3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3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3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3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3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3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3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3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3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3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3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3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3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3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3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3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3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3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3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3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3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3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3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3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3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3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3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3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3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3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3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3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3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3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3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3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3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3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3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3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3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3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3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3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3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463CC-B0E3-41C1-B915-7C2D2F5EF029}">
  <sheetPr codeName="Sheet3"/>
  <dimension ref="A1:Q150"/>
  <sheetViews>
    <sheetView workbookViewId="0">
      <selection activeCell="B19" sqref="B19"/>
    </sheetView>
  </sheetViews>
  <sheetFormatPr defaultRowHeight="14.4" x14ac:dyDescent="0.3"/>
  <cols>
    <col min="1" max="1" width="31.44140625" bestFit="1" customWidth="1"/>
    <col min="2" max="2" width="17.5546875" customWidth="1"/>
    <col min="3" max="3" width="16.44140625" customWidth="1"/>
    <col min="4" max="4" width="21.109375" customWidth="1"/>
    <col min="5" max="5" width="12.88671875" customWidth="1"/>
    <col min="6" max="6" width="14.6640625" customWidth="1"/>
    <col min="7" max="7" width="7.44140625" bestFit="1" customWidth="1"/>
    <col min="8" max="8" width="6.44140625" bestFit="1" customWidth="1"/>
    <col min="9" max="9" width="11.5546875" customWidth="1"/>
    <col min="10" max="10" width="8.77734375" bestFit="1" customWidth="1"/>
    <col min="11" max="11" width="12.44140625" customWidth="1"/>
    <col min="12" max="12" width="16" customWidth="1"/>
    <col min="13" max="13" width="12.6640625" customWidth="1"/>
    <col min="14" max="14" width="10.21875" customWidth="1"/>
    <col min="15" max="15" width="12.88671875" customWidth="1"/>
    <col min="16" max="16" width="15.44140625" customWidth="1"/>
    <col min="17" max="17" width="19.6640625" customWidth="1"/>
  </cols>
  <sheetData>
    <row r="1" spans="1:17" ht="52.8" x14ac:dyDescent="0.3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F29D3-EAAE-4B24-A62D-9194F03F83C4}">
  <sheetPr codeName="Sheet5"/>
  <dimension ref="A1:G150"/>
  <sheetViews>
    <sheetView workbookViewId="0"/>
  </sheetViews>
  <sheetFormatPr defaultRowHeight="14.4" x14ac:dyDescent="0.3"/>
  <cols>
    <col min="1" max="1" width="32.33203125" bestFit="1" customWidth="1"/>
    <col min="2" max="2" width="19.33203125" bestFit="1" customWidth="1"/>
    <col min="3" max="3" width="27" bestFit="1" customWidth="1"/>
    <col min="4" max="4" width="13.109375" customWidth="1"/>
    <col min="5" max="5" width="15.44140625" customWidth="1"/>
    <col min="6" max="6" width="13.77734375" customWidth="1"/>
    <col min="7" max="7" width="14.6640625" customWidth="1"/>
  </cols>
  <sheetData>
    <row r="1" spans="1:7" x14ac:dyDescent="0.3">
      <c r="A1" s="7" t="s">
        <v>0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 x14ac:dyDescent="0.3">
      <c r="A2" t="str">
        <f>Break!A2</f>
        <v>Mum_Abdul Hamid (1008512)</v>
      </c>
      <c r="B2" t="str">
        <f>MID(A2, FIND("_",A2,1)+1,FIND("(",A2,1)-FIND("_",A2,1)-2)</f>
        <v>Abdul Hamid</v>
      </c>
      <c r="C2" s="11">
        <f t="shared" ref="C2:C33" si="0">TIMEVALUE(VLOOKUP(A2,Edata,2,0))</f>
        <v>0.34424768518518517</v>
      </c>
      <c r="D2" s="11">
        <f t="shared" ref="D2:D33" si="1">TIMEVALUE(VLOOKUP(A2,Edata,3,0))</f>
        <v>0.20693287037037036</v>
      </c>
      <c r="E2" s="11">
        <f t="shared" ref="E2:E33" si="2">TIMEVALUE(VLOOKUP(A2,Bdata,9,0))</f>
        <v>4.7708333333333332E-2</v>
      </c>
      <c r="F2">
        <f t="shared" ref="F2:F33" si="3">VLOOKUP(A2,Pdata,2,0)</f>
        <v>98</v>
      </c>
      <c r="G2" s="12">
        <f t="shared" ref="G2:G33" si="4">VLOOKUP(A2,Edata,6,0)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 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1">
        <f t="shared" ref="C34:C65" si="6">TIMEVALUE(VLOOKUP(A34,Edata,2,0))</f>
        <v>0.34664351851851855</v>
      </c>
      <c r="D34" s="11">
        <f t="shared" ref="D34:D65" si="7">TIMEVALUE(VLOOKUP(A34,Edata,3,0))</f>
        <v>0.20781250000000001</v>
      </c>
      <c r="E34" s="11">
        <f t="shared" ref="E34:E65" si="8">TIMEVALUE(VLOOKUP(A34,Bdata,9,0))</f>
        <v>4.7951388888888891E-2</v>
      </c>
      <c r="F34">
        <f t="shared" ref="F34:F65" si="9">VLOOKUP(A34,Pdata,2,0)</f>
        <v>65</v>
      </c>
      <c r="G34" s="12">
        <f t="shared" ref="G34:G65" si="10"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1">
        <f t="shared" ref="C66:C97" si="11">TIMEVALUE(VLOOKUP(A66,Edata,2,0))</f>
        <v>0.20910879629629631</v>
      </c>
      <c r="D66" s="11">
        <f t="shared" ref="D66:D97" si="12">TIMEVALUE(VLOOKUP(A66,Edata,3,0))</f>
        <v>0.13449074074074074</v>
      </c>
      <c r="E66" s="11">
        <f t="shared" ref="E66:E97" si="13">TIMEVALUE(VLOOKUP(A66,Bdata,9,0))</f>
        <v>2.0532407407407409E-2</v>
      </c>
      <c r="F66">
        <f t="shared" ref="F66:F97" si="14">VLOOKUP(A66,Pdata,2,0)</f>
        <v>33</v>
      </c>
      <c r="G66" s="12">
        <f t="shared" ref="G66:G97" si="15"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 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1">
        <f t="shared" ref="C98:C129" si="17">TIMEVALUE(VLOOKUP(A98,Edata,2,0))</f>
        <v>0.33483796296296298</v>
      </c>
      <c r="D98" s="11">
        <f t="shared" ref="D98:D129" si="18">TIMEVALUE(VLOOKUP(A98,Edata,3,0))</f>
        <v>6.6759259259259254E-2</v>
      </c>
      <c r="E98" s="11">
        <f t="shared" ref="E98:E129" si="19">TIMEVALUE(VLOOKUP(A98,Bdata,9,0))</f>
        <v>0.23973379629629629</v>
      </c>
      <c r="F98">
        <f t="shared" ref="F98:F129" si="20">VLOOKUP(A98,Pdata,2,0)</f>
        <v>55</v>
      </c>
      <c r="G98" s="12">
        <f t="shared" ref="G98:G129" si="21"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1">
        <f t="shared" ref="C130:C150" si="22">TIMEVALUE(VLOOKUP(A130,Edata,2,0))</f>
        <v>0.34416666666666668</v>
      </c>
      <c r="D130" s="11">
        <f t="shared" ref="D130:D150" si="23">TIMEVALUE(VLOOKUP(A130,Edata,3,0))</f>
        <v>0.12054398148148149</v>
      </c>
      <c r="E130" s="11">
        <f t="shared" ref="E130:E150" si="24">TIMEVALUE(VLOOKUP(A130,Bdata,9,0))</f>
        <v>0.19140046296296295</v>
      </c>
      <c r="F130">
        <f t="shared" ref="F130:F150" si="25">VLOOKUP(A130,Pdata,2,0)</f>
        <v>87</v>
      </c>
      <c r="G130" s="12">
        <f t="shared" ref="G130:G150" si="26"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 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783CB-FA35-48EC-99E1-5FF1FD46EF7C}">
  <sheetPr codeName="Sheet1"/>
  <dimension ref="A1:E10"/>
  <sheetViews>
    <sheetView tabSelected="1" workbookViewId="0">
      <selection activeCell="J8" sqref="J8"/>
    </sheetView>
  </sheetViews>
  <sheetFormatPr defaultRowHeight="14.4" x14ac:dyDescent="0.3"/>
  <cols>
    <col min="1" max="1" width="13.21875" bestFit="1" customWidth="1"/>
    <col min="2" max="2" width="31.33203125" bestFit="1" customWidth="1"/>
    <col min="4" max="4" width="27" customWidth="1"/>
    <col min="5" max="5" width="23.6640625" customWidth="1"/>
    <col min="6" max="6" width="8.88671875" customWidth="1"/>
  </cols>
  <sheetData>
    <row r="1" spans="1:5" x14ac:dyDescent="0.3">
      <c r="A1" s="16"/>
      <c r="B1" s="16"/>
      <c r="C1" s="17">
        <v>6</v>
      </c>
      <c r="D1" s="16"/>
      <c r="E1" s="16"/>
    </row>
    <row r="2" spans="1:5" ht="21.6" customHeight="1" x14ac:dyDescent="0.3">
      <c r="A2" s="16"/>
      <c r="B2" s="16"/>
      <c r="C2">
        <v>6</v>
      </c>
      <c r="D2" s="16"/>
      <c r="E2" s="16"/>
    </row>
    <row r="3" spans="1:5" ht="21" customHeight="1" x14ac:dyDescent="0.3">
      <c r="A3" s="18" t="s">
        <v>1009</v>
      </c>
      <c r="B3" s="19"/>
      <c r="D3" s="18" t="s">
        <v>1009</v>
      </c>
      <c r="E3" s="19"/>
    </row>
    <row r="4" spans="1:5" x14ac:dyDescent="0.3">
      <c r="A4" s="13" t="s">
        <v>1003</v>
      </c>
      <c r="B4" t="s">
        <v>1012</v>
      </c>
      <c r="D4" s="13" t="s">
        <v>1003</v>
      </c>
      <c r="E4" t="s">
        <v>1013</v>
      </c>
    </row>
    <row r="5" spans="1:5" x14ac:dyDescent="0.3">
      <c r="A5" s="14" t="s">
        <v>1011</v>
      </c>
      <c r="B5" s="15">
        <v>0.38646990740740739</v>
      </c>
      <c r="D5" s="14" t="s">
        <v>1010</v>
      </c>
      <c r="E5" s="20">
        <v>0.65495030262646503</v>
      </c>
    </row>
    <row r="6" spans="1:5" x14ac:dyDescent="0.3">
      <c r="A6" s="14" t="s">
        <v>1004</v>
      </c>
      <c r="B6" s="15">
        <v>1.3668402777777779</v>
      </c>
      <c r="D6" s="14" t="s">
        <v>1004</v>
      </c>
      <c r="E6" s="20">
        <v>2.0905948641136138</v>
      </c>
    </row>
    <row r="7" spans="1:5" x14ac:dyDescent="0.3">
      <c r="A7" s="14" t="s">
        <v>1005</v>
      </c>
      <c r="B7" s="15">
        <v>0.66396990740740747</v>
      </c>
      <c r="D7" s="14" t="s">
        <v>1005</v>
      </c>
      <c r="E7" s="20">
        <v>1.064298009533315</v>
      </c>
    </row>
    <row r="8" spans="1:5" x14ac:dyDescent="0.3">
      <c r="A8" s="14" t="s">
        <v>1006</v>
      </c>
      <c r="B8" s="15">
        <v>0.67937500000000006</v>
      </c>
      <c r="D8" s="14" t="s">
        <v>1006</v>
      </c>
      <c r="E8" s="20">
        <v>1.122824596941316</v>
      </c>
    </row>
    <row r="9" spans="1:5" x14ac:dyDescent="0.3">
      <c r="A9" s="14" t="s">
        <v>1007</v>
      </c>
      <c r="B9" s="15">
        <v>1.0142939814814815</v>
      </c>
      <c r="D9" s="14" t="s">
        <v>1007</v>
      </c>
      <c r="E9" s="20">
        <v>1.7236731368386569</v>
      </c>
    </row>
    <row r="10" spans="1:5" x14ac:dyDescent="0.3">
      <c r="A10" s="14" t="s">
        <v>1008</v>
      </c>
      <c r="B10" s="15">
        <v>0.67259259259259263</v>
      </c>
      <c r="D10" s="14" t="s">
        <v>1008</v>
      </c>
      <c r="E10" s="20">
        <v>0.80510133036211395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_code5">
                <anchor moveWithCells="1" sizeWithCells="1">
                  <from>
                    <xdr:col>1</xdr:col>
                    <xdr:colOff>571500</xdr:colOff>
                    <xdr:row>0</xdr:row>
                    <xdr:rowOff>76200</xdr:rowOff>
                  </from>
                  <to>
                    <xdr:col>1</xdr:col>
                    <xdr:colOff>891540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pinner 3">
              <controlPr defaultSize="0" autoPict="0" macro="[0]!Spinner_code3">
                <anchor moveWithCells="1" sizeWithCells="1">
                  <from>
                    <xdr:col>3</xdr:col>
                    <xdr:colOff>1653540</xdr:colOff>
                    <xdr:row>0</xdr:row>
                    <xdr:rowOff>99060</xdr:rowOff>
                  </from>
                  <to>
                    <xdr:col>4</xdr:col>
                    <xdr:colOff>121920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Spinner 4">
              <controlPr defaultSize="0" autoPict="0" macro="[0]!Spinner_code3">
                <anchor moveWithCells="1" sizeWithCells="1">
                  <from>
                    <xdr:col>4</xdr:col>
                    <xdr:colOff>1066800</xdr:colOff>
                    <xdr:row>9</xdr:row>
                    <xdr:rowOff>121920</xdr:rowOff>
                  </from>
                  <to>
                    <xdr:col>4</xdr:col>
                    <xdr:colOff>1386840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Spinner 5">
              <controlPr defaultSize="0" autoPict="0" macro="[0]!spinner_code5">
                <anchor moveWithCells="1" sizeWithCells="1">
                  <from>
                    <xdr:col>1</xdr:col>
                    <xdr:colOff>1638300</xdr:colOff>
                    <xdr:row>10</xdr:row>
                    <xdr:rowOff>68580</xdr:rowOff>
                  </from>
                  <to>
                    <xdr:col>1</xdr:col>
                    <xdr:colOff>1958340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Over all Performance</vt:lpstr>
      <vt:lpstr>Efficiency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KUMAR</dc:creator>
  <cp:lastModifiedBy>SHUBHAM KUMAR</cp:lastModifiedBy>
  <dcterms:created xsi:type="dcterms:W3CDTF">2026-06-13T14:59:33Z</dcterms:created>
  <dcterms:modified xsi:type="dcterms:W3CDTF">2026-06-14T12:17:41Z</dcterms:modified>
</cp:coreProperties>
</file>